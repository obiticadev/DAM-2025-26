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bitica\Java\DAM-2025-26\Lenguaje de marcas\Proyecto final\"/>
    </mc:Choice>
  </mc:AlternateContent>
  <xr:revisionPtr revIDLastSave="0" documentId="8_{E73D5368-6C8E-4765-8374-0CA4D1F2099C}" xr6:coauthVersionLast="47" xr6:coauthVersionMax="47" xr10:uidLastSave="{00000000-0000-0000-0000-000000000000}"/>
  <bookViews>
    <workbookView xWindow="12" yWindow="120" windowWidth="23040" windowHeight="12360" xr2:uid="{00000000-000D-0000-FFFF-FFFF00000000}"/>
  </bookViews>
  <sheets>
    <sheet name="Resumen" sheetId="1" r:id="rId1"/>
    <sheet name="Informe 1 - Ventas cliente" sheetId="2" r:id="rId2"/>
    <sheet name="Informe 2 - Stock actual" sheetId="3" r:id="rId3"/>
    <sheet name="Informe 3 - Pedidos pendientes" sheetId="4" r:id="rId4"/>
  </sheets>
  <definedNames>
    <definedName name="_xlnm.Print_Area" localSheetId="3">Informe3[#All]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8" i="1"/>
  <c r="B33" i="1"/>
  <c r="B32" i="1"/>
  <c r="A27" i="1"/>
  <c r="B27" i="1" s="1"/>
  <c r="A26" i="1"/>
  <c r="B26" i="1" s="1"/>
  <c r="B25" i="1"/>
  <c r="A25" i="1"/>
  <c r="A24" i="1"/>
  <c r="B24" i="1" s="1"/>
  <c r="A23" i="1"/>
  <c r="B23" i="1" s="1"/>
  <c r="A22" i="1"/>
  <c r="B22" i="1" s="1"/>
  <c r="A21" i="1"/>
  <c r="B21" i="1" s="1"/>
  <c r="A20" i="1"/>
  <c r="B20" i="1" s="1"/>
  <c r="A19" i="1"/>
  <c r="B19" i="1" s="1"/>
  <c r="A18" i="1"/>
  <c r="B18" i="1" s="1"/>
  <c r="A17" i="1"/>
  <c r="B17" i="1" s="1"/>
  <c r="A16" i="1"/>
  <c r="B16" i="1" s="1"/>
  <c r="A15" i="1"/>
  <c r="B15" i="1" s="1"/>
  <c r="A14" i="1"/>
  <c r="B14" i="1" s="1"/>
  <c r="A13" i="1"/>
  <c r="B13" i="1" s="1"/>
  <c r="A12" i="1"/>
  <c r="B12" i="1" s="1"/>
  <c r="A11" i="1"/>
  <c r="B11" i="1" s="1"/>
  <c r="B5" i="1"/>
  <c r="B6" i="1"/>
  <c r="B3" i="1"/>
</calcChain>
</file>

<file path=xl/sharedStrings.xml><?xml version="1.0" encoding="utf-8"?>
<sst xmlns="http://schemas.openxmlformats.org/spreadsheetml/2006/main" count="277" uniqueCount="122">
  <si>
    <t>Resumen ejecutivo</t>
  </si>
  <si>
    <t>Indicador</t>
  </si>
  <si>
    <t>Valor</t>
  </si>
  <si>
    <t>Total facturado (€)</t>
  </si>
  <si>
    <t>Nº de pedidos pendientes</t>
  </si>
  <si>
    <t>Stock total (unidades)</t>
  </si>
  <si>
    <t>Importe pedidos pendientes (€)</t>
  </si>
  <si>
    <t>Ranking de clientes</t>
  </si>
  <si>
    <t>Cliente</t>
  </si>
  <si>
    <t>Total (€)</t>
  </si>
  <si>
    <t>Stock por almacén</t>
  </si>
  <si>
    <t>Almacén</t>
  </si>
  <si>
    <t>Unidades</t>
  </si>
  <si>
    <t>Almacén Central</t>
  </si>
  <si>
    <t>Almacén Auxiliar</t>
  </si>
  <si>
    <t>Pedidos pendientes</t>
  </si>
  <si>
    <t>Nº pedidos pendientes</t>
  </si>
  <si>
    <t>Importe total pendiente (€)</t>
  </si>
  <si>
    <t>Total</t>
  </si>
  <si>
    <t>Academia de Idiomas GlobalTalk</t>
  </si>
  <si>
    <t>Arquitectura &amp; Dise�o Morales</t>
  </si>
  <si>
    <t>Centro Deportivo FitLife</t>
  </si>
  <si>
    <t>Centro de Formaci�n NextStep</t>
  </si>
  <si>
    <t>Cl�nica Dental Sonrisa Sana</t>
  </si>
  <si>
    <t>Colegio P�blico La Encina</t>
  </si>
  <si>
    <t>Constructora Vial Murillo SA</t>
  </si>
  <si>
    <t>Consultora ITSolves SL</t>
  </si>
  <si>
    <t>Distribuidora Alimentos Norte SA</t>
  </si>
  <si>
    <t>Editorial P�ginas Vivas SL</t>
  </si>
  <si>
    <t>Estudio Jur�dico Pe�a &amp; Asociados</t>
  </si>
  <si>
    <t>Gestor�a Fern�ndez e Hijos SL</t>
  </si>
  <si>
    <t>Hotel Boutique Casa Solera</t>
  </si>
  <si>
    <t>Ingenier�a T�cnica Vald�s SL</t>
  </si>
  <si>
    <t>Restaurante El Rinc�n de Mar</t>
  </si>
  <si>
    <t>Supermercados Frescos SA</t>
  </si>
  <si>
    <t>�ptica Visi�n Clara</t>
  </si>
  <si>
    <t>Ubicación</t>
  </si>
  <si>
    <t>Producto</t>
  </si>
  <si>
    <t>Cantidad disponible</t>
  </si>
  <si>
    <t>Unidad</t>
  </si>
  <si>
    <t>AC/Stock</t>
  </si>
  <si>
    <t>[LEN-IP3-001] Portátil Lenovo IdeaPad 3</t>
  </si>
  <si>
    <t>[HP-15S-002] Portátil HP 15s</t>
  </si>
  <si>
    <t>[ACE-AS5-003] Portátil Acer Aspire 5</t>
  </si>
  <si>
    <t>[SAM-M24-004] Monitor Samsung 24"</t>
  </si>
  <si>
    <t>[LG-M27-005] Monitor LG 27" 4K</t>
  </si>
  <si>
    <t>[BEN-M24-006] Monitor BenQ 24" IPS</t>
  </si>
  <si>
    <t>[LOG-TK-007] Teclado Logitech MK470</t>
  </si>
  <si>
    <t>[HYP-TM-008] Teclado mecánico HyperX</t>
  </si>
  <si>
    <t>[LOG-RM-009] Ratón Logitech MX Master 3</t>
  </si>
  <si>
    <t>[RAZ-RG-010] Ratón gaming Razer DeathAdder</t>
  </si>
  <si>
    <t>[SAM-SSD-011] Disco SSD Samsung 870 EVO 1TB</t>
  </si>
  <si>
    <t>[WD-SSD-012] Disco SSD WD Blue 500GB</t>
  </si>
  <si>
    <t>[SEA-HDD-013] Disco HDD Seagate 2TB</t>
  </si>
  <si>
    <t>[KIN-RAM-014] Memoria RAM Kingston 16GB</t>
  </si>
  <si>
    <t>[COR-RAM-015] Memoria RAM Corsair 32GB Kit</t>
  </si>
  <si>
    <t>[NVI-GPU-016] Tarjeta gráfica RTX 3060</t>
  </si>
  <si>
    <t>[AMD-GPU-017] Tarjeta gráfica RX 6600</t>
  </si>
  <si>
    <t>[INT-CPU-018] Procesador Intel Core i5-13400</t>
  </si>
  <si>
    <t>[AMD-CPU-019] Procesador AMD Ryzen 5 7600X</t>
  </si>
  <si>
    <t>[ASU-MB-020] Placa base ASUS B660M</t>
  </si>
  <si>
    <t>[TP-RT-021] Router TP-Link AX3000</t>
  </si>
  <si>
    <t>[TP-SW-022] Switch TP-Link 8 puertos</t>
  </si>
  <si>
    <t>[GEN-CAB-023] Cable de red Cat6 10m</t>
  </si>
  <si>
    <t>[TP-USB-024] Adaptador USB WiFi Nano</t>
  </si>
  <si>
    <t>[HP-IMP-025] Impresora HP LaserJet M110w</t>
  </si>
  <si>
    <t>[EPS-IMP-026] Impresora Epson EcoTank ET-2850</t>
  </si>
  <si>
    <t>[HP-TON-027] Tóner HP CF244A</t>
  </si>
  <si>
    <t>[EPS-CAR-028] Cartucho Epson 502XL Negro</t>
  </si>
  <si>
    <t>[LOG-WEB-029] Webcam Logitech C920</t>
  </si>
  <si>
    <t>[JAB-AUR-030] Auriculares Jabra Evolve2 55</t>
  </si>
  <si>
    <t>[ANK-HUB-031] Hub USB-C 7 en 1</t>
  </si>
  <si>
    <t>[ERT-SOP-032] Soporte para monitor doble</t>
  </si>
  <si>
    <t>[BEL-REG-033] Regleta Belkin 8 tomas</t>
  </si>
  <si>
    <t>[HYP-ALF-034] Alfombrilla gaming XL</t>
  </si>
  <si>
    <t>[SAM-MOC-035] Mochila para portátil 15.6"</t>
  </si>
  <si>
    <t>[APC-SAI-036] SAI APC BX700U-GR</t>
  </si>
  <si>
    <t>[COR-FAL-037] Fuente alimentación Corsair 650W</t>
  </si>
  <si>
    <t>[INT-PC-038] Torre PC Sobremesa i5 16GB</t>
  </si>
  <si>
    <t>[INT-NUC-039] Mini PC Intel NUC i7</t>
  </si>
  <si>
    <t>[SAM-TAB-040] Tablet Samsung Galaxy Tab S9</t>
  </si>
  <si>
    <t>[GEN-FUN-041] Funda tablet universal 10"</t>
  </si>
  <si>
    <t>[GEN-HDMI-042] Cable HDMI 2.0 2m</t>
  </si>
  <si>
    <t>[ANK-USB-043] Cable USB-C a USB-C 1m</t>
  </si>
  <si>
    <t>[GEN-ADA-044] Adaptador HDMI a VGA</t>
  </si>
  <si>
    <t>[EPS-PRO-045] Proyector Epson EB-E01</t>
  </si>
  <si>
    <t>[GEN-PAN-046] Pantalla proyección 100"</t>
  </si>
  <si>
    <t>[MIC-LIC-047] Licencia Windows 11 Pro OEM</t>
  </si>
  <si>
    <t>AUX/Stock</t>
  </si>
  <si>
    <t>(Sin existencias)</t>
  </si>
  <si>
    <t>Referencia</t>
  </si>
  <si>
    <t>Fecha pedido</t>
  </si>
  <si>
    <t>Estado</t>
  </si>
  <si>
    <t>Fecha entrega prevista</t>
  </si>
  <si>
    <t>Subtotal</t>
  </si>
  <si>
    <t>PV-2024-024</t>
  </si>
  <si>
    <t>2024-11-12</t>
  </si>
  <si>
    <t>Ingeniería Técnica Valdés SL</t>
  </si>
  <si>
    <t>En tránsito</t>
  </si>
  <si>
    <t>2024-11-19</t>
  </si>
  <si>
    <t>PV-2024-025</t>
  </si>
  <si>
    <t>2024-11-14</t>
  </si>
  <si>
    <t>2024-11-21</t>
  </si>
  <si>
    <t>PV-2024-026</t>
  </si>
  <si>
    <t>2024-11-15</t>
  </si>
  <si>
    <t>Gestoría Fernández e Hijos SL</t>
  </si>
  <si>
    <t>Confirmado</t>
  </si>
  <si>
    <t>2024-11-22</t>
  </si>
  <si>
    <t>PV-2024-027</t>
  </si>
  <si>
    <t>2024-11-18</t>
  </si>
  <si>
    <t>2024-11-25</t>
  </si>
  <si>
    <t>PV-2024-028</t>
  </si>
  <si>
    <t>Clínica Dental Sonrisa Sana</t>
  </si>
  <si>
    <t>2024-11-26</t>
  </si>
  <si>
    <t>PV-2024-029</t>
  </si>
  <si>
    <t>2024-11-20</t>
  </si>
  <si>
    <t>Óptica Visión Clara</t>
  </si>
  <si>
    <t>2024-11-27</t>
  </si>
  <si>
    <t>PV-2024-030</t>
  </si>
  <si>
    <t>Arquitectura &amp; Diseño Morales</t>
  </si>
  <si>
    <t>2024-11-28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</si>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</sst>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5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Ranking de clientes</a:t>
            </a:r>
          </a:p>
        </c:rich>
      </c:tx>
      <c:layout>
        <c:manualLayout>
          <c:xMode val="edge"/>
          <c:yMode val="edge"/>
          <c:x val="0.70202981481481486"/>
          <c:y val="1.6260162601626018E-2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Resumen!$B$10</c:f>
              <c:strCache>
                <c:ptCount val="1"/>
                <c:pt idx="0">
                  <c:v>Total (€)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Resumen!$A$11:$A$27</c:f>
              <c:strCache>
                <c:ptCount val="17"/>
                <c:pt idx="0">
                  <c:v>Academia de Idiomas GlobalTalk</c:v>
                </c:pt>
                <c:pt idx="1">
                  <c:v>Arquitectura &amp; Dise�o Morales</c:v>
                </c:pt>
                <c:pt idx="2">
                  <c:v>Centro Deportivo FitLife</c:v>
                </c:pt>
                <c:pt idx="3">
                  <c:v>Centro de Formaci�n NextStep</c:v>
                </c:pt>
                <c:pt idx="4">
                  <c:v>Cl�nica Dental Sonrisa Sana</c:v>
                </c:pt>
                <c:pt idx="5">
                  <c:v>Colegio P�blico La Encina</c:v>
                </c:pt>
                <c:pt idx="6">
                  <c:v>Constructora Vial Murillo SA</c:v>
                </c:pt>
                <c:pt idx="7">
                  <c:v>Consultora ITSolves SL</c:v>
                </c:pt>
                <c:pt idx="8">
                  <c:v>Distribuidora Alimentos Norte SA</c:v>
                </c:pt>
                <c:pt idx="9">
                  <c:v>Editorial P�ginas Vivas SL</c:v>
                </c:pt>
                <c:pt idx="10">
                  <c:v>Estudio Jur�dico Pe�a &amp; Asociados</c:v>
                </c:pt>
                <c:pt idx="11">
                  <c:v>Gestor�a Fern�ndez e Hijos SL</c:v>
                </c:pt>
                <c:pt idx="12">
                  <c:v>Hotel Boutique Casa Solera</c:v>
                </c:pt>
                <c:pt idx="13">
                  <c:v>Ingenier�a T�cnica Vald�s SL</c:v>
                </c:pt>
                <c:pt idx="14">
                  <c:v>Restaurante El Rinc�n de Mar</c:v>
                </c:pt>
                <c:pt idx="15">
                  <c:v>Supermercados Frescos SA</c:v>
                </c:pt>
                <c:pt idx="16">
                  <c:v>�ptica Visi�n Clara</c:v>
                </c:pt>
              </c:strCache>
            </c:strRef>
          </c:cat>
          <c:val>
            <c:numRef>
              <c:f>Resumen!$B$11:$B$27</c:f>
              <c:numCache>
                <c:formatCode>#,##0.00\ "€"</c:formatCode>
                <c:ptCount val="17"/>
                <c:pt idx="0">
                  <c:v>2210.67</c:v>
                </c:pt>
                <c:pt idx="1">
                  <c:v>2205.9499999999998</c:v>
                </c:pt>
                <c:pt idx="2">
                  <c:v>430.76</c:v>
                </c:pt>
                <c:pt idx="3">
                  <c:v>4404.88</c:v>
                </c:pt>
                <c:pt idx="4">
                  <c:v>560.23</c:v>
                </c:pt>
                <c:pt idx="5">
                  <c:v>1806.53</c:v>
                </c:pt>
                <c:pt idx="6">
                  <c:v>1292.76</c:v>
                </c:pt>
                <c:pt idx="7">
                  <c:v>6040.02</c:v>
                </c:pt>
                <c:pt idx="8">
                  <c:v>2887.06</c:v>
                </c:pt>
                <c:pt idx="9">
                  <c:v>2657.64</c:v>
                </c:pt>
                <c:pt idx="10">
                  <c:v>1040.5999999999999</c:v>
                </c:pt>
                <c:pt idx="11">
                  <c:v>992.2</c:v>
                </c:pt>
                <c:pt idx="12">
                  <c:v>613.83000000000004</c:v>
                </c:pt>
                <c:pt idx="13">
                  <c:v>3888.76</c:v>
                </c:pt>
                <c:pt idx="14">
                  <c:v>361.79</c:v>
                </c:pt>
                <c:pt idx="15">
                  <c:v>5743.39</c:v>
                </c:pt>
                <c:pt idx="16">
                  <c:v>177.87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0-4CF6-8CC4-FF6596104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\ &quot;€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ES"/>
              <a:t>Stock por almacén</a:t>
            </a:r>
          </a:p>
        </c:rich>
      </c:tx>
      <c:layout>
        <c:manualLayout>
          <c:xMode val="edge"/>
          <c:yMode val="edge"/>
          <c:x val="0.78879555555555536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Resumen!$B$31</c:f>
              <c:strCache>
                <c:ptCount val="1"/>
                <c:pt idx="0">
                  <c:v>Unidades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Resumen!$A$32:$A$33</c:f>
              <c:strCache>
                <c:ptCount val="2"/>
                <c:pt idx="0">
                  <c:v>Almacén Central</c:v>
                </c:pt>
                <c:pt idx="1">
                  <c:v>Almacén Auxiliar</c:v>
                </c:pt>
              </c:strCache>
            </c:strRef>
          </c:cat>
          <c:val>
            <c:numRef>
              <c:f>Resumen!$B$32:$B$33</c:f>
              <c:numCache>
                <c:formatCode>0</c:formatCode>
                <c:ptCount val="2"/>
                <c:pt idx="0">
                  <c:v>1316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7-4A4D-9635-A70C9607F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7620</xdr:rowOff>
    </xdr:from>
    <xdr:ext cx="5400000" cy="3124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7620</xdr:colOff>
      <xdr:row>29</xdr:row>
      <xdr:rowOff>7620</xdr:rowOff>
    </xdr:from>
    <xdr:ext cx="5400000" cy="8229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enEjecutivo" displayName="ResumenEjecutivo" ref="A2:B6">
  <autoFilter ref="A2:B6" xr:uid="{00000000-0009-0000-0100-000001000000}">
    <filterColumn colId="0" hiddenButton="1"/>
    <filterColumn colId="1" hiddenButton="1"/>
  </autoFilter>
  <tableColumns count="2">
    <tableColumn id="1" xr3:uid="{00000000-0010-0000-0000-000001000000}" name="Indicador"/>
    <tableColumn id="2" xr3:uid="{00000000-0010-0000-0000-000002000000}" name="Val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ckAlmacen" displayName="StockAlmacen" ref="A31:B33" headerRowDxfId="4">
  <autoFilter ref="A31:B33" xr:uid="{00000000-0009-0000-0100-000002000000}">
    <filterColumn colId="0" hiddenButton="1"/>
    <filterColumn colId="1" hiddenButton="1"/>
  </autoFilter>
  <tableColumns count="2">
    <tableColumn id="1" xr3:uid="{00000000-0010-0000-0100-000001000000}" name="Almacén"/>
    <tableColumn id="2" xr3:uid="{00000000-0010-0000-0100-000002000000}" name="Unidad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didosPendientes" displayName="PedidosPendientes" ref="A37:B38">
  <autoFilter ref="A37:B38" xr:uid="{00000000-0009-0000-0100-000003000000}">
    <filterColumn colId="0" hiddenButton="1"/>
    <filterColumn colId="1" hiddenButton="1"/>
  </autoFilter>
  <tableColumns count="2">
    <tableColumn id="1" xr3:uid="{00000000-0010-0000-0200-000001000000}" name="Nº pedidos pendientes"/>
    <tableColumn id="2" xr3:uid="{00000000-0010-0000-0200-000002000000}" name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anckingClientes" displayName="RanckingClientes" ref="A10:B27" headerRowDxfId="3">
  <autoFilter ref="A10:B27" xr:uid="{00000000-0009-0000-0100-000004000000}">
    <filterColumn colId="0" hiddenButton="1"/>
    <filterColumn colId="1" hiddenButton="1"/>
  </autoFilter>
  <tableColumns count="2">
    <tableColumn id="1" xr3:uid="{00000000-0010-0000-0300-000001000000}" name="Cliente"/>
    <tableColumn id="2" xr3:uid="{00000000-0010-0000-0300-000002000000}" name="Total (€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forme1" displayName="Informe1" ref="A1:B18">
  <autoFilter ref="A1:B18" xr:uid="{00000000-0009-0000-0100-000005000000}">
    <filterColumn colId="0" hiddenButton="1"/>
    <filterColumn colId="1" hiddenButton="1"/>
  </autoFilter>
  <tableColumns count="2">
    <tableColumn id="1" xr3:uid="{00000000-0010-0000-0400-000001000000}" name="Cliente"/>
    <tableColumn id="2" xr3:uid="{00000000-0010-0000-0400-000002000000}" name="Total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nforme2" displayName="Informe2" ref="A1:E49">
  <autoFilter ref="A1:E49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500-000001000000}" name="Almacén"/>
    <tableColumn id="2" xr3:uid="{00000000-0010-0000-0500-000002000000}" name="Ubicación"/>
    <tableColumn id="3" xr3:uid="{00000000-0010-0000-0500-000003000000}" name="Producto"/>
    <tableColumn id="4" xr3:uid="{00000000-0010-0000-0500-000004000000}" name="Cantidad disponible"/>
    <tableColumn id="5" xr3:uid="{00000000-0010-0000-0500-000005000000}" name="Un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Informe3" displayName="Informe3" ref="A1:G8">
  <autoFilter ref="A1:G8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600-000001000000}" name="Referencia"/>
    <tableColumn id="2" xr3:uid="{00000000-0010-0000-0600-000002000000}" name="Fecha pedido"/>
    <tableColumn id="3" xr3:uid="{00000000-0010-0000-0600-000003000000}" name="Cliente"/>
    <tableColumn id="4" xr3:uid="{00000000-0010-0000-0600-000004000000}" name="Estado"/>
    <tableColumn id="5" xr3:uid="{00000000-0010-0000-0600-000005000000}" name="Fecha entrega prevista"/>
    <tableColumn id="6" xr3:uid="{00000000-0010-0000-0600-000006000000}" name="Subtotal" dataDxfId="1"/>
    <tableColumn id="7" xr3:uid="{00000000-0010-0000-0600-000007000000}" name="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zoomScaleNormal="100" workbookViewId="0">
      <selection activeCell="A3" sqref="A3"/>
    </sheetView>
  </sheetViews>
  <sheetFormatPr baseColWidth="10" defaultColWidth="8.88671875" defaultRowHeight="14.4" x14ac:dyDescent="0.3"/>
  <cols>
    <col min="1" max="1" width="38.44140625" bestFit="1" customWidth="1"/>
    <col min="2" max="2" width="13.33203125" bestFit="1" customWidth="1"/>
  </cols>
  <sheetData>
    <row r="1" spans="1:2" ht="21" customHeight="1" x14ac:dyDescent="0.4">
      <c r="A1" s="4" t="s">
        <v>0</v>
      </c>
      <c r="B1" s="5"/>
    </row>
    <row r="2" spans="1:2" x14ac:dyDescent="0.3">
      <c r="A2" s="1" t="s">
        <v>1</v>
      </c>
      <c r="B2" s="1" t="s">
        <v>2</v>
      </c>
    </row>
    <row r="3" spans="1:2" x14ac:dyDescent="0.3">
      <c r="A3" t="s">
        <v>3</v>
      </c>
      <c r="B3" s="2">
        <f>SUM(Informe1[Total])</f>
        <v>37314.94000000001</v>
      </c>
    </row>
    <row r="4" spans="1:2" x14ac:dyDescent="0.3">
      <c r="A4" t="s">
        <v>5</v>
      </c>
      <c r="B4" s="3">
        <f>SUM(Informe2[Cantidad disponible])</f>
        <v>1316</v>
      </c>
    </row>
    <row r="5" spans="1:2" x14ac:dyDescent="0.3">
      <c r="A5" t="s">
        <v>6</v>
      </c>
      <c r="B5" s="2">
        <f>SUM(Informe3[Total])</f>
        <v>5736.97</v>
      </c>
    </row>
    <row r="6" spans="1:2" x14ac:dyDescent="0.3">
      <c r="A6" t="s">
        <v>4</v>
      </c>
      <c r="B6" s="3">
        <f>COUNTA(Informe3[Referencia])</f>
        <v>7</v>
      </c>
    </row>
    <row r="9" spans="1:2" ht="21" x14ac:dyDescent="0.4">
      <c r="A9" s="4" t="s">
        <v>7</v>
      </c>
      <c r="B9" s="4"/>
    </row>
    <row r="10" spans="1:2" x14ac:dyDescent="0.3">
      <c r="A10" s="1" t="s">
        <v>8</v>
      </c>
      <c r="B10" s="1" t="s">
        <v>9</v>
      </c>
    </row>
    <row r="11" spans="1:2" ht="14.4" customHeight="1" x14ac:dyDescent="0.3">
      <c r="A11" t="str">
        <f>'Informe 1 - Ventas cliente'!A2</f>
        <v>Academia de Idiomas GlobalTalk</v>
      </c>
      <c r="B11" s="2">
        <f>VLOOKUP(RanckingClientes[[#This Row],[Cliente]],Informe1[],2,FALSE)</f>
        <v>2210.67</v>
      </c>
    </row>
    <row r="12" spans="1:2" x14ac:dyDescent="0.3">
      <c r="A12" t="str">
        <f>'Informe 1 - Ventas cliente'!A3</f>
        <v>Arquitectura &amp; Dise�o Morales</v>
      </c>
      <c r="B12" s="2">
        <f>VLOOKUP(RanckingClientes[[#This Row],[Cliente]],Informe1[],2,FALSE)</f>
        <v>2205.9499999999998</v>
      </c>
    </row>
    <row r="13" spans="1:2" x14ac:dyDescent="0.3">
      <c r="A13" t="str">
        <f>'Informe 1 - Ventas cliente'!A4</f>
        <v>Centro Deportivo FitLife</v>
      </c>
      <c r="B13" s="2">
        <f>VLOOKUP(RanckingClientes[[#This Row],[Cliente]],Informe1[],2,FALSE)</f>
        <v>430.76</v>
      </c>
    </row>
    <row r="14" spans="1:2" x14ac:dyDescent="0.3">
      <c r="A14" t="str">
        <f>'Informe 1 - Ventas cliente'!A5</f>
        <v>Centro de Formaci�n NextStep</v>
      </c>
      <c r="B14" s="2">
        <f>VLOOKUP(RanckingClientes[[#This Row],[Cliente]],Informe1[],2,FALSE)</f>
        <v>4404.88</v>
      </c>
    </row>
    <row r="15" spans="1:2" x14ac:dyDescent="0.3">
      <c r="A15" t="str">
        <f>'Informe 1 - Ventas cliente'!A6</f>
        <v>Cl�nica Dental Sonrisa Sana</v>
      </c>
      <c r="B15" s="2">
        <f>VLOOKUP(RanckingClientes[[#This Row],[Cliente]],Informe1[],2,FALSE)</f>
        <v>560.23</v>
      </c>
    </row>
    <row r="16" spans="1:2" x14ac:dyDescent="0.3">
      <c r="A16" t="str">
        <f>'Informe 1 - Ventas cliente'!A7</f>
        <v>Colegio P�blico La Encina</v>
      </c>
      <c r="B16" s="2">
        <f>VLOOKUP(RanckingClientes[[#This Row],[Cliente]],Informe1[],2,FALSE)</f>
        <v>1806.53</v>
      </c>
    </row>
    <row r="17" spans="1:2" x14ac:dyDescent="0.3">
      <c r="A17" t="str">
        <f>'Informe 1 - Ventas cliente'!A8</f>
        <v>Constructora Vial Murillo SA</v>
      </c>
      <c r="B17" s="2">
        <f>VLOOKUP(RanckingClientes[[#This Row],[Cliente]],Informe1[],2,FALSE)</f>
        <v>1292.76</v>
      </c>
    </row>
    <row r="18" spans="1:2" x14ac:dyDescent="0.3">
      <c r="A18" t="str">
        <f>'Informe 1 - Ventas cliente'!A9</f>
        <v>Consultora ITSolves SL</v>
      </c>
      <c r="B18" s="2">
        <f>VLOOKUP(RanckingClientes[[#This Row],[Cliente]],Informe1[],2,FALSE)</f>
        <v>6040.02</v>
      </c>
    </row>
    <row r="19" spans="1:2" x14ac:dyDescent="0.3">
      <c r="A19" t="str">
        <f>'Informe 1 - Ventas cliente'!A10</f>
        <v>Distribuidora Alimentos Norte SA</v>
      </c>
      <c r="B19" s="2">
        <f>VLOOKUP(RanckingClientes[[#This Row],[Cliente]],Informe1[],2,FALSE)</f>
        <v>2887.06</v>
      </c>
    </row>
    <row r="20" spans="1:2" x14ac:dyDescent="0.3">
      <c r="A20" t="str">
        <f>'Informe 1 - Ventas cliente'!A11</f>
        <v>Editorial P�ginas Vivas SL</v>
      </c>
      <c r="B20" s="2">
        <f>VLOOKUP(RanckingClientes[[#This Row],[Cliente]],Informe1[],2,FALSE)</f>
        <v>2657.64</v>
      </c>
    </row>
    <row r="21" spans="1:2" x14ac:dyDescent="0.3">
      <c r="A21" t="str">
        <f>'Informe 1 - Ventas cliente'!A12</f>
        <v>Estudio Jur�dico Pe�a &amp; Asociados</v>
      </c>
      <c r="B21" s="2">
        <f>VLOOKUP(RanckingClientes[[#This Row],[Cliente]],Informe1[],2,FALSE)</f>
        <v>1040.5999999999999</v>
      </c>
    </row>
    <row r="22" spans="1:2" x14ac:dyDescent="0.3">
      <c r="A22" t="str">
        <f>'Informe 1 - Ventas cliente'!A13</f>
        <v>Gestor�a Fern�ndez e Hijos SL</v>
      </c>
      <c r="B22" s="2">
        <f>VLOOKUP(RanckingClientes[[#This Row],[Cliente]],Informe1[],2,FALSE)</f>
        <v>992.2</v>
      </c>
    </row>
    <row r="23" spans="1:2" x14ac:dyDescent="0.3">
      <c r="A23" t="str">
        <f>'Informe 1 - Ventas cliente'!A14</f>
        <v>Hotel Boutique Casa Solera</v>
      </c>
      <c r="B23" s="2">
        <f>VLOOKUP(RanckingClientes[[#This Row],[Cliente]],Informe1[],2,FALSE)</f>
        <v>613.83000000000004</v>
      </c>
    </row>
    <row r="24" spans="1:2" x14ac:dyDescent="0.3">
      <c r="A24" t="str">
        <f>'Informe 1 - Ventas cliente'!A15</f>
        <v>Ingenier�a T�cnica Vald�s SL</v>
      </c>
      <c r="B24" s="2">
        <f>VLOOKUP(RanckingClientes[[#This Row],[Cliente]],Informe1[],2,FALSE)</f>
        <v>3888.76</v>
      </c>
    </row>
    <row r="25" spans="1:2" x14ac:dyDescent="0.3">
      <c r="A25" t="str">
        <f>'Informe 1 - Ventas cliente'!A16</f>
        <v>Restaurante El Rinc�n de Mar</v>
      </c>
      <c r="B25" s="2">
        <f>VLOOKUP(RanckingClientes[[#This Row],[Cliente]],Informe1[],2,FALSE)</f>
        <v>361.79</v>
      </c>
    </row>
    <row r="26" spans="1:2" x14ac:dyDescent="0.3">
      <c r="A26" t="str">
        <f>'Informe 1 - Ventas cliente'!A17</f>
        <v>Supermercados Frescos SA</v>
      </c>
      <c r="B26" s="2">
        <f>VLOOKUP(RanckingClientes[[#This Row],[Cliente]],Informe1[],2,FALSE)</f>
        <v>5743.39</v>
      </c>
    </row>
    <row r="27" spans="1:2" x14ac:dyDescent="0.3">
      <c r="A27" t="str">
        <f>'Informe 1 - Ventas cliente'!A18</f>
        <v>�ptica Visi�n Clara</v>
      </c>
      <c r="B27" s="2">
        <f>VLOOKUP(RanckingClientes[[#This Row],[Cliente]],Informe1[],2,FALSE)</f>
        <v>177.87</v>
      </c>
    </row>
    <row r="30" spans="1:2" ht="21" x14ac:dyDescent="0.4">
      <c r="A30" s="4" t="s">
        <v>10</v>
      </c>
      <c r="B30" s="4"/>
    </row>
    <row r="31" spans="1:2" x14ac:dyDescent="0.3">
      <c r="A31" s="1" t="s">
        <v>11</v>
      </c>
      <c r="B31" s="1" t="s">
        <v>12</v>
      </c>
    </row>
    <row r="32" spans="1:2" ht="14.4" customHeight="1" x14ac:dyDescent="0.3">
      <c r="A32" t="s">
        <v>13</v>
      </c>
      <c r="B32" s="3">
        <f>SUMIFS(Informe2[Cantidad disponible],Informe2[Almacén],"Almacén Central")</f>
        <v>1316</v>
      </c>
    </row>
    <row r="33" spans="1:2" x14ac:dyDescent="0.3">
      <c r="A33" t="s">
        <v>14</v>
      </c>
      <c r="B33" s="3">
        <f>SUMIFS(Informe2[Cantidad disponible],Informe2[Almacén],"Almacén Auxiliar")</f>
        <v>0</v>
      </c>
    </row>
    <row r="36" spans="1:2" ht="21" x14ac:dyDescent="0.4">
      <c r="A36" s="4" t="s">
        <v>15</v>
      </c>
      <c r="B36" s="4"/>
    </row>
    <row r="37" spans="1:2" x14ac:dyDescent="0.3">
      <c r="A37" t="s">
        <v>16</v>
      </c>
      <c r="B37" t="s">
        <v>121</v>
      </c>
    </row>
    <row r="38" spans="1:2" ht="14.4" customHeight="1" x14ac:dyDescent="0.3">
      <c r="A38" t="s">
        <v>17</v>
      </c>
      <c r="B38" s="2">
        <f>SUM(Informe3[Total])</f>
        <v>5736.97</v>
      </c>
    </row>
  </sheetData>
  <mergeCells count="4">
    <mergeCell ref="A1:B1"/>
    <mergeCell ref="A9:B9"/>
    <mergeCell ref="A36:B36"/>
    <mergeCell ref="A30:B30"/>
  </mergeCells>
  <pageMargins left="0.75" right="0.75" top="1" bottom="1" header="0.5" footer="0.5"/>
  <pageSetup paperSize="9" scale="61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Normal="100" workbookViewId="0">
      <selection activeCell="A2" sqref="A2"/>
    </sheetView>
  </sheetViews>
  <sheetFormatPr baseColWidth="10" defaultColWidth="8.88671875" defaultRowHeight="14.4" x14ac:dyDescent="0.3"/>
  <cols>
    <col min="1" max="1" width="29.44140625" bestFit="1" customWidth="1"/>
    <col min="2" max="2" width="9.44140625" bestFit="1" customWidth="1"/>
  </cols>
  <sheetData>
    <row r="1" spans="1:2" x14ac:dyDescent="0.3">
      <c r="A1" s="1" t="s">
        <v>8</v>
      </c>
      <c r="B1" s="1" t="s">
        <v>18</v>
      </c>
    </row>
    <row r="2" spans="1:2" x14ac:dyDescent="0.3">
      <c r="A2" t="s">
        <v>19</v>
      </c>
      <c r="B2" s="2">
        <v>2210.67</v>
      </c>
    </row>
    <row r="3" spans="1:2" x14ac:dyDescent="0.3">
      <c r="A3" t="s">
        <v>20</v>
      </c>
      <c r="B3" s="2">
        <v>2205.9499999999998</v>
      </c>
    </row>
    <row r="4" spans="1:2" x14ac:dyDescent="0.3">
      <c r="A4" t="s">
        <v>21</v>
      </c>
      <c r="B4" s="2">
        <v>430.76</v>
      </c>
    </row>
    <row r="5" spans="1:2" x14ac:dyDescent="0.3">
      <c r="A5" t="s">
        <v>22</v>
      </c>
      <c r="B5" s="2">
        <v>4404.88</v>
      </c>
    </row>
    <row r="6" spans="1:2" x14ac:dyDescent="0.3">
      <c r="A6" t="s">
        <v>23</v>
      </c>
      <c r="B6" s="2">
        <v>560.23</v>
      </c>
    </row>
    <row r="7" spans="1:2" x14ac:dyDescent="0.3">
      <c r="A7" t="s">
        <v>24</v>
      </c>
      <c r="B7" s="2">
        <v>1806.53</v>
      </c>
    </row>
    <row r="8" spans="1:2" x14ac:dyDescent="0.3">
      <c r="A8" t="s">
        <v>25</v>
      </c>
      <c r="B8" s="2">
        <v>1292.76</v>
      </c>
    </row>
    <row r="9" spans="1:2" x14ac:dyDescent="0.3">
      <c r="A9" t="s">
        <v>26</v>
      </c>
      <c r="B9" s="2">
        <v>6040.02</v>
      </c>
    </row>
    <row r="10" spans="1:2" x14ac:dyDescent="0.3">
      <c r="A10" t="s">
        <v>27</v>
      </c>
      <c r="B10" s="2">
        <v>2887.06</v>
      </c>
    </row>
    <row r="11" spans="1:2" x14ac:dyDescent="0.3">
      <c r="A11" t="s">
        <v>28</v>
      </c>
      <c r="B11" s="2">
        <v>2657.64</v>
      </c>
    </row>
    <row r="12" spans="1:2" x14ac:dyDescent="0.3">
      <c r="A12" t="s">
        <v>29</v>
      </c>
      <c r="B12" s="2">
        <v>1040.5999999999999</v>
      </c>
    </row>
    <row r="13" spans="1:2" x14ac:dyDescent="0.3">
      <c r="A13" t="s">
        <v>30</v>
      </c>
      <c r="B13" s="2">
        <v>992.2</v>
      </c>
    </row>
    <row r="14" spans="1:2" x14ac:dyDescent="0.3">
      <c r="A14" t="s">
        <v>31</v>
      </c>
      <c r="B14" s="2">
        <v>613.83000000000004</v>
      </c>
    </row>
    <row r="15" spans="1:2" x14ac:dyDescent="0.3">
      <c r="A15" t="s">
        <v>32</v>
      </c>
      <c r="B15" s="2">
        <v>3888.76</v>
      </c>
    </row>
    <row r="16" spans="1:2" x14ac:dyDescent="0.3">
      <c r="A16" t="s">
        <v>33</v>
      </c>
      <c r="B16" s="2">
        <v>361.79</v>
      </c>
    </row>
    <row r="17" spans="1:2" x14ac:dyDescent="0.3">
      <c r="A17" t="s">
        <v>34</v>
      </c>
      <c r="B17" s="2">
        <v>5743.39</v>
      </c>
    </row>
    <row r="18" spans="1:2" x14ac:dyDescent="0.3">
      <c r="A18" t="s">
        <v>35</v>
      </c>
      <c r="B18" s="2">
        <v>177.87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zoomScaleNormal="100" workbookViewId="0">
      <selection activeCell="A2" sqref="A2"/>
    </sheetView>
  </sheetViews>
  <sheetFormatPr baseColWidth="10" defaultColWidth="8.88671875" defaultRowHeight="14.4" x14ac:dyDescent="0.3"/>
  <cols>
    <col min="1" max="1" width="14.44140625" bestFit="1" customWidth="1"/>
    <col min="2" max="2" width="9.6640625" bestFit="1" customWidth="1"/>
    <col min="3" max="3" width="42.21875" bestFit="1" customWidth="1"/>
    <col min="4" max="4" width="17.77734375" bestFit="1" customWidth="1"/>
    <col min="5" max="5" width="7.109375" bestFit="1" customWidth="1"/>
    <col min="6" max="6" width="8.21875" bestFit="1" customWidth="1"/>
    <col min="7" max="7" width="7.6640625" bestFit="1" customWidth="1"/>
    <col min="8" max="8" width="11.6640625" bestFit="1" customWidth="1"/>
  </cols>
  <sheetData>
    <row r="1" spans="1:5" x14ac:dyDescent="0.3">
      <c r="A1" t="s">
        <v>11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3">
      <c r="A2" t="s">
        <v>13</v>
      </c>
      <c r="B2" t="s">
        <v>40</v>
      </c>
      <c r="C2" t="s">
        <v>41</v>
      </c>
      <c r="D2">
        <v>15</v>
      </c>
      <c r="E2" t="s">
        <v>39</v>
      </c>
    </row>
    <row r="3" spans="1:5" x14ac:dyDescent="0.3">
      <c r="A3" t="s">
        <v>13</v>
      </c>
      <c r="B3" t="s">
        <v>40</v>
      </c>
      <c r="C3" t="s">
        <v>42</v>
      </c>
      <c r="D3">
        <v>10</v>
      </c>
      <c r="E3" t="s">
        <v>39</v>
      </c>
    </row>
    <row r="4" spans="1:5" x14ac:dyDescent="0.3">
      <c r="A4" t="s">
        <v>13</v>
      </c>
      <c r="B4" t="s">
        <v>40</v>
      </c>
      <c r="C4" t="s">
        <v>43</v>
      </c>
      <c r="D4">
        <v>8</v>
      </c>
      <c r="E4" t="s">
        <v>39</v>
      </c>
    </row>
    <row r="5" spans="1:5" x14ac:dyDescent="0.3">
      <c r="A5" t="s">
        <v>13</v>
      </c>
      <c r="B5" t="s">
        <v>40</v>
      </c>
      <c r="C5" t="s">
        <v>44</v>
      </c>
      <c r="D5">
        <v>20</v>
      </c>
      <c r="E5" t="s">
        <v>39</v>
      </c>
    </row>
    <row r="6" spans="1:5" x14ac:dyDescent="0.3">
      <c r="A6" t="s">
        <v>13</v>
      </c>
      <c r="B6" t="s">
        <v>40</v>
      </c>
      <c r="C6" t="s">
        <v>45</v>
      </c>
      <c r="D6">
        <v>12</v>
      </c>
      <c r="E6" t="s">
        <v>39</v>
      </c>
    </row>
    <row r="7" spans="1:5" x14ac:dyDescent="0.3">
      <c r="A7" t="s">
        <v>13</v>
      </c>
      <c r="B7" t="s">
        <v>40</v>
      </c>
      <c r="C7" t="s">
        <v>46</v>
      </c>
      <c r="D7">
        <v>18</v>
      </c>
      <c r="E7" t="s">
        <v>39</v>
      </c>
    </row>
    <row r="8" spans="1:5" x14ac:dyDescent="0.3">
      <c r="A8" t="s">
        <v>13</v>
      </c>
      <c r="B8" t="s">
        <v>40</v>
      </c>
      <c r="C8" t="s">
        <v>47</v>
      </c>
      <c r="D8">
        <v>35</v>
      </c>
      <c r="E8" t="s">
        <v>39</v>
      </c>
    </row>
    <row r="9" spans="1:5" x14ac:dyDescent="0.3">
      <c r="A9" t="s">
        <v>13</v>
      </c>
      <c r="B9" t="s">
        <v>40</v>
      </c>
      <c r="C9" t="s">
        <v>48</v>
      </c>
      <c r="D9">
        <v>22</v>
      </c>
      <c r="E9" t="s">
        <v>39</v>
      </c>
    </row>
    <row r="10" spans="1:5" x14ac:dyDescent="0.3">
      <c r="A10" t="s">
        <v>13</v>
      </c>
      <c r="B10" t="s">
        <v>40</v>
      </c>
      <c r="C10" t="s">
        <v>49</v>
      </c>
      <c r="D10">
        <v>30</v>
      </c>
      <c r="E10" t="s">
        <v>39</v>
      </c>
    </row>
    <row r="11" spans="1:5" x14ac:dyDescent="0.3">
      <c r="A11" t="s">
        <v>13</v>
      </c>
      <c r="B11" t="s">
        <v>40</v>
      </c>
      <c r="C11" t="s">
        <v>50</v>
      </c>
      <c r="D11">
        <v>25</v>
      </c>
      <c r="E11" t="s">
        <v>39</v>
      </c>
    </row>
    <row r="12" spans="1:5" x14ac:dyDescent="0.3">
      <c r="A12" t="s">
        <v>13</v>
      </c>
      <c r="B12" t="s">
        <v>40</v>
      </c>
      <c r="C12" t="s">
        <v>51</v>
      </c>
      <c r="D12">
        <v>40</v>
      </c>
      <c r="E12" t="s">
        <v>39</v>
      </c>
    </row>
    <row r="13" spans="1:5" x14ac:dyDescent="0.3">
      <c r="A13" t="s">
        <v>13</v>
      </c>
      <c r="B13" t="s">
        <v>40</v>
      </c>
      <c r="C13" t="s">
        <v>52</v>
      </c>
      <c r="D13">
        <v>55</v>
      </c>
      <c r="E13" t="s">
        <v>39</v>
      </c>
    </row>
    <row r="14" spans="1:5" x14ac:dyDescent="0.3">
      <c r="A14" t="s">
        <v>13</v>
      </c>
      <c r="B14" t="s">
        <v>40</v>
      </c>
      <c r="C14" t="s">
        <v>53</v>
      </c>
      <c r="D14">
        <v>30</v>
      </c>
      <c r="E14" t="s">
        <v>39</v>
      </c>
    </row>
    <row r="15" spans="1:5" x14ac:dyDescent="0.3">
      <c r="A15" t="s">
        <v>13</v>
      </c>
      <c r="B15" t="s">
        <v>40</v>
      </c>
      <c r="C15" t="s">
        <v>54</v>
      </c>
      <c r="D15">
        <v>60</v>
      </c>
      <c r="E15" t="s">
        <v>39</v>
      </c>
    </row>
    <row r="16" spans="1:5" x14ac:dyDescent="0.3">
      <c r="A16" t="s">
        <v>13</v>
      </c>
      <c r="B16" t="s">
        <v>40</v>
      </c>
      <c r="C16" t="s">
        <v>55</v>
      </c>
      <c r="D16">
        <v>28</v>
      </c>
      <c r="E16" t="s">
        <v>39</v>
      </c>
    </row>
    <row r="17" spans="1:5" x14ac:dyDescent="0.3">
      <c r="A17" t="s">
        <v>13</v>
      </c>
      <c r="B17" t="s">
        <v>40</v>
      </c>
      <c r="C17" t="s">
        <v>56</v>
      </c>
      <c r="D17">
        <v>9</v>
      </c>
      <c r="E17" t="s">
        <v>39</v>
      </c>
    </row>
    <row r="18" spans="1:5" x14ac:dyDescent="0.3">
      <c r="A18" t="s">
        <v>13</v>
      </c>
      <c r="B18" t="s">
        <v>40</v>
      </c>
      <c r="C18" t="s">
        <v>57</v>
      </c>
      <c r="D18">
        <v>7</v>
      </c>
      <c r="E18" t="s">
        <v>39</v>
      </c>
    </row>
    <row r="19" spans="1:5" x14ac:dyDescent="0.3">
      <c r="A19" t="s">
        <v>13</v>
      </c>
      <c r="B19" t="s">
        <v>40</v>
      </c>
      <c r="C19" t="s">
        <v>58</v>
      </c>
      <c r="D19">
        <v>20</v>
      </c>
      <c r="E19" t="s">
        <v>39</v>
      </c>
    </row>
    <row r="20" spans="1:5" x14ac:dyDescent="0.3">
      <c r="A20" t="s">
        <v>13</v>
      </c>
      <c r="B20" t="s">
        <v>40</v>
      </c>
      <c r="C20" t="s">
        <v>59</v>
      </c>
      <c r="D20">
        <v>15</v>
      </c>
      <c r="E20" t="s">
        <v>39</v>
      </c>
    </row>
    <row r="21" spans="1:5" x14ac:dyDescent="0.3">
      <c r="A21" t="s">
        <v>13</v>
      </c>
      <c r="B21" t="s">
        <v>40</v>
      </c>
      <c r="C21" t="s">
        <v>60</v>
      </c>
      <c r="D21">
        <v>12</v>
      </c>
      <c r="E21" t="s">
        <v>39</v>
      </c>
    </row>
    <row r="22" spans="1:5" x14ac:dyDescent="0.3">
      <c r="A22" t="s">
        <v>13</v>
      </c>
      <c r="B22" t="s">
        <v>40</v>
      </c>
      <c r="C22" t="s">
        <v>61</v>
      </c>
      <c r="D22">
        <v>25</v>
      </c>
      <c r="E22" t="s">
        <v>39</v>
      </c>
    </row>
    <row r="23" spans="1:5" x14ac:dyDescent="0.3">
      <c r="A23" t="s">
        <v>13</v>
      </c>
      <c r="B23" t="s">
        <v>40</v>
      </c>
      <c r="C23" t="s">
        <v>62</v>
      </c>
      <c r="D23">
        <v>40</v>
      </c>
      <c r="E23" t="s">
        <v>39</v>
      </c>
    </row>
    <row r="24" spans="1:5" x14ac:dyDescent="0.3">
      <c r="A24" t="s">
        <v>13</v>
      </c>
      <c r="B24" t="s">
        <v>40</v>
      </c>
      <c r="C24" t="s">
        <v>63</v>
      </c>
      <c r="D24">
        <v>100</v>
      </c>
      <c r="E24" t="s">
        <v>39</v>
      </c>
    </row>
    <row r="25" spans="1:5" x14ac:dyDescent="0.3">
      <c r="A25" t="s">
        <v>13</v>
      </c>
      <c r="B25" t="s">
        <v>40</v>
      </c>
      <c r="C25" t="s">
        <v>64</v>
      </c>
      <c r="D25">
        <v>50</v>
      </c>
      <c r="E25" t="s">
        <v>39</v>
      </c>
    </row>
    <row r="26" spans="1:5" x14ac:dyDescent="0.3">
      <c r="A26" t="s">
        <v>13</v>
      </c>
      <c r="B26" t="s">
        <v>40</v>
      </c>
      <c r="C26" t="s">
        <v>65</v>
      </c>
      <c r="D26">
        <v>10</v>
      </c>
      <c r="E26" t="s">
        <v>39</v>
      </c>
    </row>
    <row r="27" spans="1:5" x14ac:dyDescent="0.3">
      <c r="A27" t="s">
        <v>13</v>
      </c>
      <c r="B27" t="s">
        <v>40</v>
      </c>
      <c r="C27" t="s">
        <v>66</v>
      </c>
      <c r="D27">
        <v>8</v>
      </c>
      <c r="E27" t="s">
        <v>39</v>
      </c>
    </row>
    <row r="28" spans="1:5" x14ac:dyDescent="0.3">
      <c r="A28" t="s">
        <v>13</v>
      </c>
      <c r="B28" t="s">
        <v>40</v>
      </c>
      <c r="C28" t="s">
        <v>67</v>
      </c>
      <c r="D28">
        <v>45</v>
      </c>
      <c r="E28" t="s">
        <v>39</v>
      </c>
    </row>
    <row r="29" spans="1:5" x14ac:dyDescent="0.3">
      <c r="A29" t="s">
        <v>13</v>
      </c>
      <c r="B29" t="s">
        <v>40</v>
      </c>
      <c r="C29" t="s">
        <v>68</v>
      </c>
      <c r="D29">
        <v>60</v>
      </c>
      <c r="E29" t="s">
        <v>39</v>
      </c>
    </row>
    <row r="30" spans="1:5" x14ac:dyDescent="0.3">
      <c r="A30" t="s">
        <v>13</v>
      </c>
      <c r="B30" t="s">
        <v>40</v>
      </c>
      <c r="C30" t="s">
        <v>69</v>
      </c>
      <c r="D30">
        <v>20</v>
      </c>
      <c r="E30" t="s">
        <v>39</v>
      </c>
    </row>
    <row r="31" spans="1:5" x14ac:dyDescent="0.3">
      <c r="A31" t="s">
        <v>13</v>
      </c>
      <c r="B31" t="s">
        <v>40</v>
      </c>
      <c r="C31" t="s">
        <v>70</v>
      </c>
      <c r="D31">
        <v>10</v>
      </c>
      <c r="E31" t="s">
        <v>39</v>
      </c>
    </row>
    <row r="32" spans="1:5" x14ac:dyDescent="0.3">
      <c r="A32" t="s">
        <v>13</v>
      </c>
      <c r="B32" t="s">
        <v>40</v>
      </c>
      <c r="C32" t="s">
        <v>71</v>
      </c>
      <c r="D32">
        <v>35</v>
      </c>
      <c r="E32" t="s">
        <v>39</v>
      </c>
    </row>
    <row r="33" spans="1:5" x14ac:dyDescent="0.3">
      <c r="A33" t="s">
        <v>13</v>
      </c>
      <c r="B33" t="s">
        <v>40</v>
      </c>
      <c r="C33" t="s">
        <v>72</v>
      </c>
      <c r="D33">
        <v>20</v>
      </c>
      <c r="E33" t="s">
        <v>39</v>
      </c>
    </row>
    <row r="34" spans="1:5" x14ac:dyDescent="0.3">
      <c r="A34" t="s">
        <v>13</v>
      </c>
      <c r="B34" t="s">
        <v>40</v>
      </c>
      <c r="C34" t="s">
        <v>73</v>
      </c>
      <c r="D34">
        <v>30</v>
      </c>
      <c r="E34" t="s">
        <v>39</v>
      </c>
    </row>
    <row r="35" spans="1:5" x14ac:dyDescent="0.3">
      <c r="A35" t="s">
        <v>13</v>
      </c>
      <c r="B35" t="s">
        <v>40</v>
      </c>
      <c r="C35" t="s">
        <v>74</v>
      </c>
      <c r="D35">
        <v>45</v>
      </c>
      <c r="E35" t="s">
        <v>39</v>
      </c>
    </row>
    <row r="36" spans="1:5" x14ac:dyDescent="0.3">
      <c r="A36" t="s">
        <v>13</v>
      </c>
      <c r="B36" t="s">
        <v>40</v>
      </c>
      <c r="C36" t="s">
        <v>75</v>
      </c>
      <c r="D36">
        <v>25</v>
      </c>
      <c r="E36" t="s">
        <v>39</v>
      </c>
    </row>
    <row r="37" spans="1:5" x14ac:dyDescent="0.3">
      <c r="A37" t="s">
        <v>13</v>
      </c>
      <c r="B37" t="s">
        <v>40</v>
      </c>
      <c r="C37" t="s">
        <v>76</v>
      </c>
      <c r="D37">
        <v>15</v>
      </c>
      <c r="E37" t="s">
        <v>39</v>
      </c>
    </row>
    <row r="38" spans="1:5" x14ac:dyDescent="0.3">
      <c r="A38" t="s">
        <v>13</v>
      </c>
      <c r="B38" t="s">
        <v>40</v>
      </c>
      <c r="C38" t="s">
        <v>77</v>
      </c>
      <c r="D38">
        <v>18</v>
      </c>
      <c r="E38" t="s">
        <v>39</v>
      </c>
    </row>
    <row r="39" spans="1:5" x14ac:dyDescent="0.3">
      <c r="A39" t="s">
        <v>13</v>
      </c>
      <c r="B39" t="s">
        <v>40</v>
      </c>
      <c r="C39" t="s">
        <v>78</v>
      </c>
      <c r="D39">
        <v>6</v>
      </c>
      <c r="E39" t="s">
        <v>39</v>
      </c>
    </row>
    <row r="40" spans="1:5" x14ac:dyDescent="0.3">
      <c r="A40" t="s">
        <v>13</v>
      </c>
      <c r="B40" t="s">
        <v>40</v>
      </c>
      <c r="C40" t="s">
        <v>79</v>
      </c>
      <c r="D40">
        <v>5</v>
      </c>
      <c r="E40" t="s">
        <v>39</v>
      </c>
    </row>
    <row r="41" spans="1:5" x14ac:dyDescent="0.3">
      <c r="A41" t="s">
        <v>13</v>
      </c>
      <c r="B41" t="s">
        <v>40</v>
      </c>
      <c r="C41" t="s">
        <v>80</v>
      </c>
      <c r="D41">
        <v>8</v>
      </c>
      <c r="E41" t="s">
        <v>39</v>
      </c>
    </row>
    <row r="42" spans="1:5" x14ac:dyDescent="0.3">
      <c r="A42" t="s">
        <v>13</v>
      </c>
      <c r="B42" t="s">
        <v>40</v>
      </c>
      <c r="C42" t="s">
        <v>81</v>
      </c>
      <c r="D42">
        <v>40</v>
      </c>
      <c r="E42" t="s">
        <v>39</v>
      </c>
    </row>
    <row r="43" spans="1:5" x14ac:dyDescent="0.3">
      <c r="A43" t="s">
        <v>13</v>
      </c>
      <c r="B43" t="s">
        <v>40</v>
      </c>
      <c r="C43" t="s">
        <v>82</v>
      </c>
      <c r="D43">
        <v>80</v>
      </c>
      <c r="E43" t="s">
        <v>39</v>
      </c>
    </row>
    <row r="44" spans="1:5" x14ac:dyDescent="0.3">
      <c r="A44" t="s">
        <v>13</v>
      </c>
      <c r="B44" t="s">
        <v>40</v>
      </c>
      <c r="C44" t="s">
        <v>83</v>
      </c>
      <c r="D44">
        <v>70</v>
      </c>
      <c r="E44" t="s">
        <v>39</v>
      </c>
    </row>
    <row r="45" spans="1:5" x14ac:dyDescent="0.3">
      <c r="A45" t="s">
        <v>13</v>
      </c>
      <c r="B45" t="s">
        <v>40</v>
      </c>
      <c r="C45" t="s">
        <v>84</v>
      </c>
      <c r="D45">
        <v>50</v>
      </c>
      <c r="E45" t="s">
        <v>39</v>
      </c>
    </row>
    <row r="46" spans="1:5" x14ac:dyDescent="0.3">
      <c r="A46" t="s">
        <v>13</v>
      </c>
      <c r="B46" t="s">
        <v>40</v>
      </c>
      <c r="C46" t="s">
        <v>85</v>
      </c>
      <c r="D46">
        <v>4</v>
      </c>
      <c r="E46" t="s">
        <v>39</v>
      </c>
    </row>
    <row r="47" spans="1:5" x14ac:dyDescent="0.3">
      <c r="A47" t="s">
        <v>13</v>
      </c>
      <c r="B47" t="s">
        <v>40</v>
      </c>
      <c r="C47" t="s">
        <v>86</v>
      </c>
      <c r="D47">
        <v>6</v>
      </c>
      <c r="E47" t="s">
        <v>39</v>
      </c>
    </row>
    <row r="48" spans="1:5" x14ac:dyDescent="0.3">
      <c r="A48" t="s">
        <v>13</v>
      </c>
      <c r="B48" t="s">
        <v>40</v>
      </c>
      <c r="C48" t="s">
        <v>87</v>
      </c>
      <c r="D48">
        <v>20</v>
      </c>
      <c r="E48" t="s">
        <v>39</v>
      </c>
    </row>
    <row r="49" spans="1:5" x14ac:dyDescent="0.3">
      <c r="A49" t="s">
        <v>14</v>
      </c>
      <c r="B49" t="s">
        <v>88</v>
      </c>
      <c r="C49" t="s">
        <v>89</v>
      </c>
      <c r="D49">
        <v>0</v>
      </c>
      <c r="E49" t="s">
        <v>39</v>
      </c>
    </row>
  </sheetData>
  <pageMargins left="0.75" right="0.75" top="1" bottom="1" header="0.5" footer="0.5"/>
  <pageSetup paperSize="9" scale="94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zoomScaleNormal="100" zoomScaleSheetLayoutView="100" workbookViewId="0">
      <selection activeCell="A2" sqref="A2"/>
    </sheetView>
  </sheetViews>
  <sheetFormatPr baseColWidth="10" defaultColWidth="8.88671875" defaultRowHeight="14.4" x14ac:dyDescent="0.3"/>
  <cols>
    <col min="1" max="1" width="11.44140625" bestFit="1" customWidth="1"/>
    <col min="2" max="2" width="12.21875" bestFit="1" customWidth="1"/>
    <col min="3" max="3" width="28" bestFit="1" customWidth="1"/>
    <col min="4" max="4" width="10.6640625" bestFit="1" customWidth="1"/>
    <col min="5" max="5" width="20" bestFit="1" customWidth="1"/>
    <col min="6" max="7" width="9.44140625" bestFit="1" customWidth="1"/>
    <col min="8" max="8" width="13.21875" bestFit="1" customWidth="1"/>
    <col min="9" max="9" width="9.44140625" bestFit="1" customWidth="1"/>
  </cols>
  <sheetData>
    <row r="1" spans="1:7" x14ac:dyDescent="0.3">
      <c r="A1" t="s">
        <v>90</v>
      </c>
      <c r="B1" t="s">
        <v>91</v>
      </c>
      <c r="C1" t="s">
        <v>8</v>
      </c>
      <c r="D1" t="s">
        <v>92</v>
      </c>
      <c r="E1" t="s">
        <v>93</v>
      </c>
      <c r="F1" t="s">
        <v>94</v>
      </c>
      <c r="G1" t="s">
        <v>18</v>
      </c>
    </row>
    <row r="2" spans="1:7" x14ac:dyDescent="0.3">
      <c r="A2" t="s">
        <v>95</v>
      </c>
      <c r="B2" t="s">
        <v>96</v>
      </c>
      <c r="C2" t="s">
        <v>97</v>
      </c>
      <c r="D2" t="s">
        <v>98</v>
      </c>
      <c r="E2" t="s">
        <v>99</v>
      </c>
      <c r="F2" s="2">
        <v>2276.1999999999998</v>
      </c>
      <c r="G2" s="2">
        <v>2754.2</v>
      </c>
    </row>
    <row r="3" spans="1:7" x14ac:dyDescent="0.3">
      <c r="A3" t="s">
        <v>100</v>
      </c>
      <c r="B3" t="s">
        <v>101</v>
      </c>
      <c r="C3" t="s">
        <v>27</v>
      </c>
      <c r="D3" t="s">
        <v>98</v>
      </c>
      <c r="E3" t="s">
        <v>102</v>
      </c>
      <c r="F3" s="2">
        <v>540</v>
      </c>
      <c r="G3" s="2">
        <v>653.4</v>
      </c>
    </row>
    <row r="4" spans="1:7" x14ac:dyDescent="0.3">
      <c r="A4" t="s">
        <v>103</v>
      </c>
      <c r="B4" t="s">
        <v>104</v>
      </c>
      <c r="C4" t="s">
        <v>105</v>
      </c>
      <c r="D4" t="s">
        <v>106</v>
      </c>
      <c r="E4" t="s">
        <v>107</v>
      </c>
      <c r="F4" s="2">
        <v>125</v>
      </c>
      <c r="G4" s="2">
        <v>151.25</v>
      </c>
    </row>
    <row r="5" spans="1:7" x14ac:dyDescent="0.3">
      <c r="A5" t="s">
        <v>108</v>
      </c>
      <c r="B5" t="s">
        <v>109</v>
      </c>
      <c r="C5" t="s">
        <v>19</v>
      </c>
      <c r="D5" t="s">
        <v>106</v>
      </c>
      <c r="E5" t="s">
        <v>110</v>
      </c>
      <c r="F5" s="2">
        <v>180</v>
      </c>
      <c r="G5" s="2">
        <v>217.8</v>
      </c>
    </row>
    <row r="6" spans="1:7" x14ac:dyDescent="0.3">
      <c r="A6" t="s">
        <v>111</v>
      </c>
      <c r="B6" t="s">
        <v>99</v>
      </c>
      <c r="C6" t="s">
        <v>112</v>
      </c>
      <c r="D6" t="s">
        <v>106</v>
      </c>
      <c r="E6" t="s">
        <v>113</v>
      </c>
      <c r="F6" s="2">
        <v>145</v>
      </c>
      <c r="G6" s="2">
        <v>175.45</v>
      </c>
    </row>
    <row r="7" spans="1:7" x14ac:dyDescent="0.3">
      <c r="A7" t="s">
        <v>114</v>
      </c>
      <c r="B7" t="s">
        <v>115</v>
      </c>
      <c r="C7" t="s">
        <v>116</v>
      </c>
      <c r="D7" t="s">
        <v>106</v>
      </c>
      <c r="E7" t="s">
        <v>117</v>
      </c>
      <c r="F7" s="2">
        <v>147</v>
      </c>
      <c r="G7" s="2">
        <v>177.87</v>
      </c>
    </row>
    <row r="8" spans="1:7" x14ac:dyDescent="0.3">
      <c r="A8" t="s">
        <v>118</v>
      </c>
      <c r="B8" t="s">
        <v>102</v>
      </c>
      <c r="C8" t="s">
        <v>119</v>
      </c>
      <c r="D8" t="s">
        <v>106</v>
      </c>
      <c r="E8" t="s">
        <v>120</v>
      </c>
      <c r="F8" s="2">
        <v>1328.1</v>
      </c>
      <c r="G8" s="2">
        <v>1607</v>
      </c>
    </row>
  </sheetData>
  <pageMargins left="0.75" right="0.75" top="1" bottom="1" header="0.5" footer="0.5"/>
  <pageSetup paperSize="9" scale="8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Informe 1 - Ventas cliente</vt:lpstr>
      <vt:lpstr>Informe 2 - Stock actual</vt:lpstr>
      <vt:lpstr>Informe 3 - Pedidos pendientes</vt:lpstr>
      <vt:lpstr>'Informe 3 - Pedidos pendientes'!Área_de_impresión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Bitica</cp:lastModifiedBy>
  <cp:lastPrinted>2026-05-20T08:52:12Z</cp:lastPrinted>
  <dcterms:created xsi:type="dcterms:W3CDTF">2026-05-20T07:27:48Z</dcterms:created>
  <dcterms:modified xsi:type="dcterms:W3CDTF">2026-05-20T08:52:29Z</dcterms:modified>
</cp:coreProperties>
</file>